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4\Mindstem.id\Kegiatan 10 - 24 Ags 2024\"/>
    </mc:Choice>
  </mc:AlternateContent>
  <xr:revisionPtr revIDLastSave="0" documentId="13_ncr:1_{41E29C7C-91BF-441F-ABD4-C4EA1E1A142C}" xr6:coauthVersionLast="47" xr6:coauthVersionMax="47" xr10:uidLastSave="{00000000-0000-0000-0000-000000000000}"/>
  <bookViews>
    <workbookView xWindow="-108" yWindow="-108" windowWidth="23256" windowHeight="12456" xr2:uid="{B9EE394E-5F01-4FB1-8B36-923B0DE6A1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<sst xmlns="http://schemas.openxmlformats.org/spreadsheetml/2006/main" count="28" uniqueCount="28">
  <si>
    <t>Mantrijeron</t>
  </si>
  <si>
    <t>No</t>
  </si>
  <si>
    <t>Kraton</t>
  </si>
  <si>
    <t>Mergangsan</t>
  </si>
  <si>
    <t>Umbulharjo</t>
  </si>
  <si>
    <t>Kotagede</t>
  </si>
  <si>
    <t>Gondokusuman</t>
  </si>
  <si>
    <t>Danurejan</t>
  </si>
  <si>
    <t>Pakualaman</t>
  </si>
  <si>
    <t>Ngampilan</t>
  </si>
  <si>
    <t>Wirobrajan</t>
  </si>
  <si>
    <t>Gedongtengen</t>
  </si>
  <si>
    <t>Gondomanan</t>
  </si>
  <si>
    <t>Jetis</t>
  </si>
  <si>
    <t>Tegalrejo</t>
  </si>
  <si>
    <t>Penduduk (ribu)</t>
  </si>
  <si>
    <t>Luas (ha)</t>
  </si>
  <si>
    <t>Kepadatan Penduduk (per km2)</t>
  </si>
  <si>
    <t>Cuaca Ekstrem</t>
  </si>
  <si>
    <t>Erupsi Gunung Api</t>
  </si>
  <si>
    <t>Gelombang Pasang / Abrasi</t>
  </si>
  <si>
    <t>Gelombang Pasang Dan Abrasi</t>
  </si>
  <si>
    <t>Gempabumi</t>
  </si>
  <si>
    <t>Kebakaran Hutan Dan Lahan</t>
  </si>
  <si>
    <t>Kekeringan</t>
  </si>
  <si>
    <t>Tanah Longsor</t>
  </si>
  <si>
    <t>Banjir</t>
  </si>
  <si>
    <t>Nama Kecamatan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</si>
</sst>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2" fontId="0" fillId="0" borderId="0" xfId="0" applyNumberFormat="1"/>
    <xf numFmtId="43" fontId="0" fillId="0" borderId="0" xfId="1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6B951-6CFC-4323-952F-7078DD29C9E6}">
  <dimension ref="A1:N15"/>
  <sheetViews>
    <sheetView tabSelected="1" workbookViewId="0">
      <selection activeCell="B2" sqref="B2"/>
    </sheetView>
  </sheetViews>
  <sheetFormatPr defaultRowHeight="14.4" x14ac:dyDescent="0.3"/>
  <cols>
    <col min="1" max="1" width="6.21875" customWidth="1"/>
    <col min="2" max="2" width="13.77734375" bestFit="1" customWidth="1"/>
    <col min="4" max="4" width="13.6640625" bestFit="1" customWidth="1"/>
    <col min="5" max="5" width="26.21875" bestFit="1" customWidth="1"/>
    <col min="6" max="6" width="9.44140625" customWidth="1"/>
    <col min="7" max="7" width="13.109375" bestFit="1" customWidth="1"/>
    <col min="8" max="8" width="15.5546875" bestFit="1" customWidth="1"/>
    <col min="10" max="10" width="25.88671875" bestFit="1" customWidth="1"/>
    <col min="11" max="11" width="10.77734375" bestFit="1" customWidth="1"/>
    <col min="12" max="12" width="24.21875" bestFit="1" customWidth="1"/>
    <col min="13" max="13" width="9.88671875" bestFit="1" customWidth="1"/>
    <col min="14" max="14" width="12.88671875" bestFit="1" customWidth="1"/>
  </cols>
  <sheetData>
    <row r="1" spans="1:14" x14ac:dyDescent="0.3">
      <c r="A1" t="s">
        <v>1</v>
      </c>
      <c r="B1" t="s">
        <v>27</v>
      </c>
      <c r="C1" t="s">
        <v>16</v>
      </c>
      <c r="D1" t="s">
        <v>15</v>
      </c>
      <c r="E1" t="s">
        <v>17</v>
      </c>
      <c r="F1" t="s">
        <v>26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</row>
    <row r="2" spans="1:14" x14ac:dyDescent="0.3">
      <c r="A2">
        <v>1</v>
      </c>
      <c r="B2" t="s">
        <v>0</v>
      </c>
      <c r="C2" s="2">
        <v>267.24</v>
      </c>
      <c r="D2" s="2">
        <v>33.659999999999997</v>
      </c>
      <c r="E2" s="1">
        <f t="shared" ref="E2:E15" si="0">D2/C2*100</f>
        <v>12.595419847328243</v>
      </c>
      <c r="F2" s="1"/>
      <c r="G2" s="3"/>
    </row>
    <row r="3" spans="1:14" x14ac:dyDescent="0.3">
      <c r="A3">
        <v>2</v>
      </c>
      <c r="B3" t="s">
        <v>2</v>
      </c>
      <c r="C3" s="2">
        <v>137.5</v>
      </c>
      <c r="D3" s="2">
        <v>18.02</v>
      </c>
      <c r="E3" s="1">
        <f t="shared" si="0"/>
        <v>13.105454545454545</v>
      </c>
      <c r="F3" s="1"/>
    </row>
    <row r="4" spans="1:14" x14ac:dyDescent="0.3">
      <c r="A4">
        <v>3</v>
      </c>
      <c r="B4" t="s">
        <v>3</v>
      </c>
      <c r="C4" s="2">
        <v>229.7</v>
      </c>
      <c r="D4" s="2">
        <v>28.87</v>
      </c>
      <c r="E4" s="1">
        <f t="shared" si="0"/>
        <v>12.568567696996084</v>
      </c>
      <c r="F4" s="1"/>
      <c r="L4">
        <v>1</v>
      </c>
    </row>
    <row r="5" spans="1:14" x14ac:dyDescent="0.3">
      <c r="A5">
        <v>4</v>
      </c>
      <c r="B5" t="s">
        <v>4</v>
      </c>
      <c r="C5" s="2">
        <v>832.58</v>
      </c>
      <c r="D5" s="2">
        <v>68.48</v>
      </c>
      <c r="E5" s="1">
        <f t="shared" si="0"/>
        <v>8.2250354320305554</v>
      </c>
      <c r="F5">
        <v>2</v>
      </c>
      <c r="L5">
        <v>5</v>
      </c>
    </row>
    <row r="6" spans="1:14" x14ac:dyDescent="0.3">
      <c r="A6">
        <v>5</v>
      </c>
      <c r="B6" t="s">
        <v>5</v>
      </c>
      <c r="C6" s="2">
        <v>298.8</v>
      </c>
      <c r="D6" s="2">
        <v>33.56</v>
      </c>
      <c r="E6" s="1">
        <f t="shared" si="0"/>
        <v>11.231593038821956</v>
      </c>
      <c r="F6" s="1"/>
    </row>
    <row r="7" spans="1:14" x14ac:dyDescent="0.3">
      <c r="A7">
        <v>6</v>
      </c>
      <c r="B7" t="s">
        <v>6</v>
      </c>
      <c r="C7" s="2">
        <v>398.6</v>
      </c>
      <c r="D7" s="2">
        <v>37.090000000000003</v>
      </c>
      <c r="E7" s="1">
        <f t="shared" si="0"/>
        <v>9.3050677370797796</v>
      </c>
      <c r="F7" s="1"/>
      <c r="L7">
        <v>1</v>
      </c>
    </row>
    <row r="8" spans="1:14" x14ac:dyDescent="0.3">
      <c r="A8">
        <v>7</v>
      </c>
      <c r="B8" t="s">
        <v>7</v>
      </c>
      <c r="C8" s="2">
        <v>110.86</v>
      </c>
      <c r="D8" s="2">
        <v>18.850000000000001</v>
      </c>
      <c r="E8" s="1">
        <f t="shared" si="0"/>
        <v>17.003427746707562</v>
      </c>
      <c r="F8" s="1"/>
    </row>
    <row r="9" spans="1:14" x14ac:dyDescent="0.3">
      <c r="A9">
        <v>8</v>
      </c>
      <c r="B9" t="s">
        <v>8</v>
      </c>
      <c r="C9" s="2">
        <v>64.66</v>
      </c>
      <c r="D9" s="2">
        <v>9.19</v>
      </c>
      <c r="E9" s="1">
        <f t="shared" si="0"/>
        <v>14.212805443860191</v>
      </c>
      <c r="F9" s="1"/>
    </row>
    <row r="10" spans="1:14" x14ac:dyDescent="0.3">
      <c r="A10">
        <v>9</v>
      </c>
      <c r="B10" t="s">
        <v>12</v>
      </c>
      <c r="C10" s="2">
        <v>114.22</v>
      </c>
      <c r="D10" s="2">
        <v>12.85</v>
      </c>
      <c r="E10" s="1">
        <f t="shared" si="0"/>
        <v>11.250218875853616</v>
      </c>
      <c r="F10" s="1"/>
      <c r="L10">
        <v>1</v>
      </c>
    </row>
    <row r="11" spans="1:14" x14ac:dyDescent="0.3">
      <c r="A11">
        <v>10</v>
      </c>
      <c r="B11" t="s">
        <v>9</v>
      </c>
      <c r="C11" s="2">
        <v>84.05</v>
      </c>
      <c r="D11" s="2">
        <v>15.43</v>
      </c>
      <c r="E11" s="1">
        <f t="shared" si="0"/>
        <v>18.35812016656752</v>
      </c>
      <c r="F11" s="1"/>
      <c r="G11">
        <v>1</v>
      </c>
      <c r="L11">
        <v>1</v>
      </c>
    </row>
    <row r="12" spans="1:14" x14ac:dyDescent="0.3">
      <c r="A12">
        <v>11</v>
      </c>
      <c r="B12" t="s">
        <v>10</v>
      </c>
      <c r="C12" s="2">
        <v>177.05</v>
      </c>
      <c r="D12" s="2">
        <v>24.85</v>
      </c>
      <c r="E12" s="1">
        <f t="shared" si="0"/>
        <v>14.035583168596441</v>
      </c>
      <c r="F12" s="1"/>
      <c r="N12">
        <v>1</v>
      </c>
    </row>
    <row r="13" spans="1:14" x14ac:dyDescent="0.3">
      <c r="A13">
        <v>12</v>
      </c>
      <c r="B13" t="s">
        <v>11</v>
      </c>
      <c r="C13" s="2">
        <v>98.52</v>
      </c>
      <c r="D13" s="2">
        <v>16.559999999999999</v>
      </c>
      <c r="E13" s="1">
        <f t="shared" si="0"/>
        <v>16.808769792935443</v>
      </c>
      <c r="F13" s="1"/>
    </row>
    <row r="14" spans="1:14" x14ac:dyDescent="0.3">
      <c r="A14">
        <v>13</v>
      </c>
      <c r="B14" t="s">
        <v>13</v>
      </c>
      <c r="C14" s="2">
        <v>172.05</v>
      </c>
      <c r="D14" s="2">
        <v>23.49</v>
      </c>
      <c r="E14" s="1">
        <f t="shared" si="0"/>
        <v>13.653007846556232</v>
      </c>
      <c r="F14" s="1"/>
      <c r="G14">
        <v>1</v>
      </c>
      <c r="L14">
        <v>2</v>
      </c>
    </row>
    <row r="15" spans="1:14" x14ac:dyDescent="0.3">
      <c r="A15">
        <v>14</v>
      </c>
      <c r="B15" t="s">
        <v>14</v>
      </c>
      <c r="C15" s="2">
        <v>296.08</v>
      </c>
      <c r="D15" s="2">
        <v>34.799999999999997</v>
      </c>
      <c r="E15" s="1">
        <f t="shared" si="0"/>
        <v>11.753580113482842</v>
      </c>
      <c r="F15" s="1"/>
      <c r="G15">
        <v>4</v>
      </c>
      <c r="L15">
        <v>1</v>
      </c>
    </row>
  </sheetData>
  <sortState xmlns:xlrd2="http://schemas.microsoft.com/office/spreadsheetml/2017/richdata2" ref="A2:N15">
    <sortCondition ref="A2:A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Febrita</dc:creator>
  <cp:lastModifiedBy>Diana Febrita</cp:lastModifiedBy>
  <dcterms:created xsi:type="dcterms:W3CDTF">2024-07-10T00:40:29Z</dcterms:created>
  <dcterms:modified xsi:type="dcterms:W3CDTF">2024-07-29T14:52:32Z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2024-07-10T00:47:30Z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170a96ea-e1cf-4762-a829-6dd63dd07143</vt:lpwstr>
  </property>
  <property fmtid="{D5CDD505-2E9C-101B-9397-08002B2CF9AE}" pid="8" name="MSIP_Label_4044bd30-2ed7-4c9d-9d12-46200872a97b_ContentBits">
    <vt:lpwstr>0</vt:lpwstr>
  </property>
</Properties>
</file>